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anw\Downloads\"/>
    </mc:Choice>
  </mc:AlternateContent>
  <bookViews>
    <workbookView xWindow="0" yWindow="0" windowWidth="28800" windowHeight="14136"/>
  </bookViews>
  <sheets>
    <sheet name="Welcome" sheetId="3" r:id="rId1"/>
    <sheet name="userStore" sheetId="1" state="hidden" r:id="rId2"/>
    <sheet name="Gantt" sheetId="7" state="hidden" r:id="rId3"/>
    <sheet name="Main" sheetId="2" state="hidden" r:id="rId4"/>
    <sheet name="Filter" sheetId="9" state="hidden" r:id="rId5"/>
  </sheets>
  <definedNames>
    <definedName name="DaysCompSeries" localSheetId="2">OFFSET(Gantt!$F$2,0,0,COUNTA(Gantt!$F:$F)-1)</definedName>
    <definedName name="DaysRemSeries" localSheetId="2">OFFSET(Gantt!$G$2,0,0,COUNTA(Gantt!$G:$G))</definedName>
    <definedName name="StartDateSeries" localSheetId="2">OFFSET(Gantt!$C$2,0,0,COUNTA(Gantt!$C:$C)-1)</definedName>
    <definedName name="TaskNameSeries" localSheetId="2">OFFSET(Gantt!$A$2,0,0,COUNTA(Gantt!$A:$A))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G8" i="7"/>
  <c r="G9" i="7"/>
  <c r="G10" i="7"/>
  <c r="G11" i="7"/>
  <c r="G12" i="7"/>
  <c r="G13" i="7"/>
  <c r="G14" i="7"/>
  <c r="F3" i="7"/>
  <c r="F4" i="7"/>
  <c r="F5" i="7"/>
  <c r="F6" i="7"/>
  <c r="F7" i="7"/>
  <c r="F8" i="7"/>
  <c r="F9" i="7"/>
  <c r="F10" i="7"/>
  <c r="F11" i="7"/>
  <c r="F12" i="7"/>
  <c r="F13" i="7"/>
  <c r="F14" i="7"/>
  <c r="E14" i="7"/>
  <c r="E3" i="7"/>
  <c r="E4" i="7"/>
  <c r="E5" i="7"/>
  <c r="E6" i="7"/>
  <c r="E7" i="7"/>
  <c r="E8" i="7"/>
  <c r="E9" i="7"/>
  <c r="E10" i="7"/>
  <c r="E11" i="7"/>
  <c r="E12" i="7"/>
  <c r="E13" i="7"/>
  <c r="D2" i="7" l="1"/>
  <c r="C2" i="7"/>
  <c r="K1" i="7" s="1"/>
  <c r="F2" i="7" l="1"/>
  <c r="G2" i="7" s="1"/>
  <c r="E2" i="7" l="1"/>
</calcChain>
</file>

<file path=xl/sharedStrings.xml><?xml version="1.0" encoding="utf-8"?>
<sst xmlns="http://schemas.openxmlformats.org/spreadsheetml/2006/main" count="73" uniqueCount="50">
  <si>
    <t>First Name</t>
  </si>
  <si>
    <t>Last Name</t>
  </si>
  <si>
    <t>Username</t>
  </si>
  <si>
    <t>Password</t>
  </si>
  <si>
    <t>E-mail</t>
  </si>
  <si>
    <t>Project Name</t>
  </si>
  <si>
    <t>Project Description</t>
  </si>
  <si>
    <t>Notes</t>
  </si>
  <si>
    <t>Member 1</t>
  </si>
  <si>
    <t>Member 2</t>
  </si>
  <si>
    <t>Member 3</t>
  </si>
  <si>
    <t>Member 4</t>
  </si>
  <si>
    <t>Member 5</t>
  </si>
  <si>
    <t>Member 6</t>
  </si>
  <si>
    <t>Start Date</t>
  </si>
  <si>
    <t>End Date</t>
  </si>
  <si>
    <t>Admin</t>
  </si>
  <si>
    <t>Task Name</t>
  </si>
  <si>
    <t>Task Description</t>
  </si>
  <si>
    <t>Duration (Days)</t>
  </si>
  <si>
    <t>Days Complete</t>
  </si>
  <si>
    <t>Days Remaining</t>
  </si>
  <si>
    <t>Percent Complete</t>
  </si>
  <si>
    <t>Start Date in Number Form:</t>
  </si>
  <si>
    <t>Totals</t>
  </si>
  <si>
    <t>Conceptual Thinking</t>
  </si>
  <si>
    <t>Analytical Thinking</t>
  </si>
  <si>
    <t>Organization</t>
  </si>
  <si>
    <t>Self-learning</t>
  </si>
  <si>
    <t>Programming</t>
  </si>
  <si>
    <t>Presenting</t>
  </si>
  <si>
    <t>Report-Writing</t>
  </si>
  <si>
    <t>Leadership</t>
  </si>
  <si>
    <t>Teamwork</t>
  </si>
  <si>
    <t>Creativity</t>
  </si>
  <si>
    <t xml:space="preserve"> </t>
  </si>
  <si>
    <t>sdksjfbaskfb</t>
  </si>
  <si>
    <t>a</t>
  </si>
  <si>
    <t>Test</t>
  </si>
  <si>
    <t>amuy</t>
  </si>
  <si>
    <t>ks</t>
  </si>
  <si>
    <t>h</t>
  </si>
  <si>
    <t>sd</t>
  </si>
  <si>
    <t>s</t>
  </si>
  <si>
    <t>Hi</t>
  </si>
  <si>
    <t>j</t>
  </si>
  <si>
    <t>asdasdas</t>
  </si>
  <si>
    <t>adsasdsad</t>
  </si>
  <si>
    <t>asdas</t>
  </si>
  <si>
    <t>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</si>
</sst>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Tahoma"/>
      <family val="2"/>
    </font>
    <font>
      <i/>
      <sz val="12"/>
      <color theme="1"/>
      <name val="Tahoma"/>
      <family val="2"/>
    </font>
    <font>
      <b/>
      <u/>
      <sz val="14"/>
      <color theme="0"/>
      <name val="Tahoma"/>
      <family val="2"/>
    </font>
    <font>
      <sz val="14"/>
      <color theme="0"/>
      <name val="Tahoma"/>
      <family val="2"/>
    </font>
    <font>
      <b/>
      <u/>
      <sz val="12"/>
      <color theme="0"/>
      <name val="Tahoma"/>
      <family val="2"/>
    </font>
    <font>
      <u/>
      <sz val="12"/>
      <color theme="0"/>
      <name val="Tahoma"/>
      <family val="2"/>
    </font>
    <font>
      <b/>
      <i/>
      <sz val="14"/>
      <color rgb="FFFF0000"/>
      <name val="Tahoma"/>
      <family val="2"/>
    </font>
    <font>
      <sz val="12"/>
      <color theme="1"/>
      <name val="Calibri"/>
      <family val="2"/>
      <scheme val="minor"/>
    </font>
    <font>
      <b/>
      <sz val="14"/>
      <color theme="0"/>
      <name val="Tahoma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4" tint="0.39997558519241921"/>
      </left>
      <right/>
      <top style="thin">
        <color auto="1"/>
      </top>
      <bottom/>
      <diagonal/>
    </border>
    <border>
      <left/>
      <right style="thin">
        <color theme="4" tint="0.39997558519241921"/>
      </right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3" fillId="3" borderId="7" xfId="0" applyFont="1" applyFill="1" applyBorder="1" applyAlignment="1">
      <alignment wrapText="1"/>
    </xf>
    <xf numFmtId="0" fontId="3" fillId="3" borderId="7" xfId="0" applyFont="1" applyFill="1" applyBorder="1"/>
    <xf numFmtId="0" fontId="4" fillId="3" borderId="7" xfId="0" applyFont="1" applyFill="1" applyBorder="1" applyAlignment="1">
      <alignment wrapText="1"/>
    </xf>
    <xf numFmtId="0" fontId="5" fillId="4" borderId="0" xfId="0" applyFont="1" applyFill="1" applyAlignment="1">
      <alignment horizontal="center"/>
    </xf>
    <xf numFmtId="0" fontId="6" fillId="4" borderId="0" xfId="0" applyFont="1" applyFill="1"/>
    <xf numFmtId="0" fontId="7" fillId="6" borderId="7" xfId="0" applyFont="1" applyFill="1" applyBorder="1"/>
    <xf numFmtId="0" fontId="8" fillId="6" borderId="7" xfId="0" applyFont="1" applyFill="1" applyBorder="1"/>
    <xf numFmtId="0" fontId="9" fillId="5" borderId="0" xfId="0" applyFont="1" applyFill="1"/>
    <xf numFmtId="14" fontId="10" fillId="7" borderId="7" xfId="0" applyNumberFormat="1" applyFont="1" applyFill="1" applyBorder="1"/>
    <xf numFmtId="14" fontId="10" fillId="7" borderId="10" xfId="0" applyNumberFormat="1" applyFont="1" applyFill="1" applyBorder="1"/>
    <xf numFmtId="0" fontId="0" fillId="9" borderId="0" xfId="0" applyFill="1"/>
    <xf numFmtId="0" fontId="12" fillId="0" borderId="11" xfId="0" applyFont="1" applyFill="1" applyBorder="1" applyAlignment="1">
      <alignment vertical="center" wrapText="1"/>
    </xf>
    <xf numFmtId="1" fontId="0" fillId="0" borderId="0" xfId="0" applyNumberFormat="1"/>
    <xf numFmtId="164" fontId="0" fillId="0" borderId="0" xfId="0" applyNumberFormat="1"/>
    <xf numFmtId="9" fontId="0" fillId="0" borderId="0" xfId="0" applyNumberFormat="1"/>
    <xf numFmtId="14" fontId="11" fillId="8" borderId="8" xfId="0" applyNumberFormat="1" applyFont="1" applyFill="1" applyBorder="1"/>
    <xf numFmtId="14" fontId="11" fillId="8" borderId="9" xfId="0" applyNumberFormat="1" applyFont="1" applyFill="1" applyBorder="1"/>
    <xf numFmtId="0" fontId="2" fillId="2" borderId="2" xfId="0" applyFont="1" applyFill="1" applyBorder="1" applyAlignment="1">
      <alignment wrapText="1"/>
    </xf>
    <xf numFmtId="0" fontId="0" fillId="0" borderId="13" xfId="0" applyFont="1" applyBorder="1"/>
    <xf numFmtId="0" fontId="0" fillId="0" borderId="14" xfId="0" applyFont="1" applyBorder="1"/>
    <xf numFmtId="164" fontId="0" fillId="0" borderId="14" xfId="0" applyNumberFormat="1" applyFont="1" applyBorder="1"/>
    <xf numFmtId="9" fontId="0" fillId="0" borderId="15" xfId="0" applyNumberFormat="1" applyFont="1" applyBorder="1"/>
    <xf numFmtId="0" fontId="13" fillId="10" borderId="16" xfId="0" applyFont="1" applyFill="1" applyBorder="1" applyAlignment="1">
      <alignment vertical="center" wrapText="1"/>
    </xf>
    <xf numFmtId="164" fontId="13" fillId="10" borderId="16" xfId="0" applyNumberFormat="1" applyFont="1" applyFill="1" applyBorder="1" applyAlignment="1">
      <alignment vertical="center" wrapText="1"/>
    </xf>
    <xf numFmtId="9" fontId="13" fillId="10" borderId="10" xfId="0" applyNumberFormat="1" applyFont="1" applyFill="1" applyBorder="1" applyAlignment="1">
      <alignment vertical="center" wrapText="1"/>
    </xf>
    <xf numFmtId="0" fontId="0" fillId="11" borderId="17" xfId="0" applyFont="1" applyFill="1" applyBorder="1"/>
    <xf numFmtId="0" fontId="0" fillId="11" borderId="12" xfId="0" applyFont="1" applyFill="1" applyBorder="1"/>
    <xf numFmtId="164" fontId="0" fillId="11" borderId="12" xfId="0" applyNumberFormat="1" applyFont="1" applyFill="1" applyBorder="1"/>
    <xf numFmtId="1" fontId="0" fillId="11" borderId="12" xfId="0" applyNumberFormat="1" applyFont="1" applyFill="1" applyBorder="1"/>
    <xf numFmtId="2" fontId="0" fillId="11" borderId="12" xfId="0" applyNumberFormat="1" applyFont="1" applyFill="1" applyBorder="1"/>
    <xf numFmtId="9" fontId="0" fillId="11" borderId="18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Gantt!$C$1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Gantt!TaskNameSeries</c:f>
              <c:strCache>
                <c:ptCount val="13"/>
                <c:pt idx="0">
                  <c:v> </c:v>
                </c:pt>
                <c:pt idx="1">
                  <c:v>Test</c:v>
                </c:pt>
                <c:pt idx="2">
                  <c:v>a</c:v>
                </c:pt>
                <c:pt idx="3">
                  <c:v>amuy</c:v>
                </c:pt>
                <c:pt idx="4">
                  <c:v>h</c:v>
                </c:pt>
                <c:pt idx="5">
                  <c:v>sd</c:v>
                </c:pt>
                <c:pt idx="6">
                  <c:v>a</c:v>
                </c:pt>
                <c:pt idx="7">
                  <c:v>Hi</c:v>
                </c:pt>
                <c:pt idx="8">
                  <c:v>a</c:v>
                </c:pt>
                <c:pt idx="9">
                  <c:v>a</c:v>
                </c:pt>
                <c:pt idx="10">
                  <c:v>asdasdas</c:v>
                </c:pt>
                <c:pt idx="11">
                  <c:v>asdas</c:v>
                </c:pt>
                <c:pt idx="12">
                  <c:v>asdasd</c:v>
                </c:pt>
              </c:strCache>
            </c:strRef>
          </c:cat>
          <c:val>
            <c:numRef>
              <c:f>Gantt!StartDateSeries</c:f>
              <c:numCache>
                <c:formatCode>mm/dd/yyyy</c:formatCode>
                <c:ptCount val="13"/>
                <c:pt idx="0">
                  <c:v>43192</c:v>
                </c:pt>
                <c:pt idx="1">
                  <c:v>43054</c:v>
                </c:pt>
                <c:pt idx="2">
                  <c:v>42749</c:v>
                </c:pt>
                <c:pt idx="3">
                  <c:v>42736</c:v>
                </c:pt>
                <c:pt idx="4">
                  <c:v>42749</c:v>
                </c:pt>
                <c:pt idx="5">
                  <c:v>42749</c:v>
                </c:pt>
                <c:pt idx="6">
                  <c:v>42749</c:v>
                </c:pt>
                <c:pt idx="7">
                  <c:v>42749</c:v>
                </c:pt>
                <c:pt idx="8">
                  <c:v>42749</c:v>
                </c:pt>
                <c:pt idx="9">
                  <c:v>42749</c:v>
                </c:pt>
                <c:pt idx="10">
                  <c:v>43050</c:v>
                </c:pt>
                <c:pt idx="11">
                  <c:v>43018</c:v>
                </c:pt>
                <c:pt idx="12">
                  <c:v>43018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2-4802-A6E0-B8F3A4FF61C6}"/>
            </c:ext>
          </c:extLst>
        </c:ser>
        <c:ser>
          <c:idx val="1"/>
          <c:order val="1"/>
          <c:tx>
            <c:strRef>
              <c:f>Gantt!$F$1</c:f>
              <c:strCache>
                <c:ptCount val="1"/>
                <c:pt idx="0">
                  <c:v>Days Complete</c:v>
                </c:pt>
              </c:strCache>
            </c:strRef>
          </c:tx>
          <c:spPr>
            <a:gradFill flip="none" rotWithShape="1">
              <a:gsLst>
                <a:gs pos="0">
                  <a:srgbClr val="0070C0"/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6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Gantt!TaskNameSeries</c:f>
              <c:strCache>
                <c:ptCount val="13"/>
                <c:pt idx="0">
                  <c:v> </c:v>
                </c:pt>
                <c:pt idx="1">
                  <c:v>Test</c:v>
                </c:pt>
                <c:pt idx="2">
                  <c:v>a</c:v>
                </c:pt>
                <c:pt idx="3">
                  <c:v>amuy</c:v>
                </c:pt>
                <c:pt idx="4">
                  <c:v>h</c:v>
                </c:pt>
                <c:pt idx="5">
                  <c:v>sd</c:v>
                </c:pt>
                <c:pt idx="6">
                  <c:v>a</c:v>
                </c:pt>
                <c:pt idx="7">
                  <c:v>Hi</c:v>
                </c:pt>
                <c:pt idx="8">
                  <c:v>a</c:v>
                </c:pt>
                <c:pt idx="9">
                  <c:v>a</c:v>
                </c:pt>
                <c:pt idx="10">
                  <c:v>asdasdas</c:v>
                </c:pt>
                <c:pt idx="11">
                  <c:v>asdas</c:v>
                </c:pt>
                <c:pt idx="12">
                  <c:v>asdasd</c:v>
                </c:pt>
              </c:strCache>
            </c:strRef>
          </c:cat>
          <c:val>
            <c:numRef>
              <c:f>Gantt!DaysCompSeries</c:f>
              <c:numCache>
                <c:formatCode>0.00</c:formatCode>
                <c:ptCount val="13"/>
                <c:pt idx="0">
                  <c:v>0</c:v>
                </c:pt>
                <c:pt idx="1">
                  <c:v>4.5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2-4802-A6E0-B8F3A4FF61C6}"/>
            </c:ext>
          </c:extLst>
        </c:ser>
        <c:ser>
          <c:idx val="2"/>
          <c:order val="2"/>
          <c:tx>
            <c:strRef>
              <c:f>Gantt!$G$1</c:f>
              <c:strCache>
                <c:ptCount val="1"/>
                <c:pt idx="0">
                  <c:v>Days Remaining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Gantt!TaskNameSeries</c:f>
              <c:strCache>
                <c:ptCount val="13"/>
                <c:pt idx="0">
                  <c:v> </c:v>
                </c:pt>
                <c:pt idx="1">
                  <c:v>Test</c:v>
                </c:pt>
                <c:pt idx="2">
                  <c:v>a</c:v>
                </c:pt>
                <c:pt idx="3">
                  <c:v>amuy</c:v>
                </c:pt>
                <c:pt idx="4">
                  <c:v>h</c:v>
                </c:pt>
                <c:pt idx="5">
                  <c:v>sd</c:v>
                </c:pt>
                <c:pt idx="6">
                  <c:v>a</c:v>
                </c:pt>
                <c:pt idx="7">
                  <c:v>Hi</c:v>
                </c:pt>
                <c:pt idx="8">
                  <c:v>a</c:v>
                </c:pt>
                <c:pt idx="9">
                  <c:v>a</c:v>
                </c:pt>
                <c:pt idx="10">
                  <c:v>asdasdas</c:v>
                </c:pt>
                <c:pt idx="11">
                  <c:v>asdas</c:v>
                </c:pt>
                <c:pt idx="12">
                  <c:v>asdasd</c:v>
                </c:pt>
              </c:strCache>
            </c:strRef>
          </c:cat>
          <c:val>
            <c:numRef>
              <c:f>Gantt!DaysRemSeries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2</c:v>
                </c:pt>
                <c:pt idx="3">
                  <c:v>10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0.9</c:v>
                </c:pt>
                <c:pt idx="9">
                  <c:v>2</c:v>
                </c:pt>
                <c:pt idx="10">
                  <c:v>1</c:v>
                </c:pt>
                <c:pt idx="11">
                  <c:v>-1</c:v>
                </c:pt>
                <c:pt idx="1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D2-4802-A6E0-B8F3A4FF6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4673688"/>
        <c:axId val="614675000"/>
      </c:barChart>
      <c:catAx>
        <c:axId val="6146736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75000"/>
        <c:crosses val="autoZero"/>
        <c:auto val="1"/>
        <c:lblAlgn val="ctr"/>
        <c:lblOffset val="100"/>
        <c:noMultiLvlLbl val="0"/>
      </c:catAx>
      <c:valAx>
        <c:axId val="614675000"/>
        <c:scaling>
          <c:orientation val="minMax"/>
          <c:min val="4305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673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171450</xdr:rowOff>
    </xdr:from>
    <xdr:to>
      <xdr:col>0</xdr:col>
      <xdr:colOff>8246533</xdr:colOff>
      <xdr:row>9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2900" y="357717"/>
          <a:ext cx="7903633" cy="1337733"/>
        </a:xfrm>
        <a:prstGeom prst="rect">
          <a:avLst/>
        </a:prstGeom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 w="762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xdr:oneCellAnchor>
    <xdr:from>
      <xdr:col>0</xdr:col>
      <xdr:colOff>288092</xdr:colOff>
      <xdr:row>2</xdr:row>
      <xdr:rowOff>182060</xdr:rowOff>
    </xdr:from>
    <xdr:ext cx="8030407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8092" y="550360"/>
          <a:ext cx="8030407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Task Distribution Tool</a:t>
          </a:r>
        </a:p>
      </xdr:txBody>
    </xdr:sp>
    <xdr:clientData/>
  </xdr:oneCellAnchor>
  <xdr:twoCellAnchor>
    <xdr:from>
      <xdr:col>0</xdr:col>
      <xdr:colOff>355600</xdr:colOff>
      <xdr:row>10</xdr:row>
      <xdr:rowOff>95250</xdr:rowOff>
    </xdr:from>
    <xdr:to>
      <xdr:col>0</xdr:col>
      <xdr:colOff>6172200</xdr:colOff>
      <xdr:row>31</xdr:row>
      <xdr:rowOff>177800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55600" y="1957917"/>
          <a:ext cx="5816600" cy="3994150"/>
        </a:xfrm>
        <a:prstGeom prst="rect">
          <a:avLst/>
        </a:prstGeom>
        <a:gradFill flip="none" rotWithShape="1">
          <a:gsLst>
            <a:gs pos="0">
              <a:schemeClr val="accent4">
                <a:lumMod val="5000"/>
                <a:lumOff val="95000"/>
              </a:schemeClr>
            </a:gs>
            <a:gs pos="74000">
              <a:schemeClr val="accent4">
                <a:lumMod val="45000"/>
                <a:lumOff val="55000"/>
              </a:schemeClr>
            </a:gs>
            <a:gs pos="83000">
              <a:schemeClr val="accent4">
                <a:lumMod val="45000"/>
                <a:lumOff val="55000"/>
              </a:schemeClr>
            </a:gs>
            <a:gs pos="100000">
              <a:schemeClr val="accent4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</a:ln>
        <a:effectLst>
          <a:outerShdw blurRad="50800" dist="50800" dir="5400000" algn="ctr" rotWithShape="0">
            <a:srgbClr val="000000">
              <a:alpha val="95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0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Welcome!</a:t>
          </a:r>
        </a:p>
        <a:p>
          <a:endParaRPr lang="en-CA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en-CA" sz="16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Please</a:t>
          </a:r>
          <a:r>
            <a:rPr lang="en-CA" sz="16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enable macros</a:t>
          </a:r>
        </a:p>
        <a:p>
          <a:endParaRPr lang="en-CA" sz="16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en-CA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The tool will error check for these but: </a:t>
          </a:r>
        </a:p>
        <a:p>
          <a:pPr algn="l"/>
          <a:endParaRPr lang="en-CA" sz="16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en-CA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- Make sure to create an admin account first </a:t>
          </a:r>
        </a:p>
        <a:p>
          <a:pPr algn="l"/>
          <a:r>
            <a:rPr lang="en-CA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- Refer to the user manual provided for the admin code</a:t>
          </a:r>
        </a:p>
        <a:p>
          <a:pPr algn="l"/>
          <a:r>
            <a:rPr lang="en-CA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- Have at least 4 team members before creating tasks</a:t>
          </a:r>
        </a:p>
        <a:p>
          <a:pPr algn="l"/>
          <a:endParaRPr lang="en-CA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en-CA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Additional Information:</a:t>
          </a:r>
        </a:p>
        <a:p>
          <a:pPr algn="l"/>
          <a:r>
            <a:rPr lang="en-CA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- Buttons</a:t>
          </a:r>
          <a:r>
            <a:rPr lang="en-CA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on the right are disabled until you log in</a:t>
          </a:r>
        </a:p>
        <a:p>
          <a:pPr algn="l"/>
          <a:r>
            <a:rPr lang="en-CA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- Main controls contains: Creating accounts and Sign In</a:t>
          </a:r>
        </a:p>
        <a:p>
          <a:pPr algn="l"/>
          <a:r>
            <a:rPr lang="en-CA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- Admin account is the only account that can create tasks</a:t>
          </a:r>
        </a:p>
        <a:p>
          <a:endParaRPr lang="en-CA" sz="12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en-CA" sz="12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en-CA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endParaRPr lang="en-CA" sz="12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en-CA" sz="12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en-CA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6377940</xdr:colOff>
          <xdr:row>10</xdr:row>
          <xdr:rowOff>144780</xdr:rowOff>
        </xdr:from>
        <xdr:to>
          <xdr:col>1</xdr:col>
          <xdr:colOff>0</xdr:colOff>
          <xdr:row>14</xdr:row>
          <xdr:rowOff>68580</xdr:rowOff>
        </xdr:to>
        <xdr:sp macro="" textlink="">
          <xdr:nvSpPr>
            <xdr:cNvPr id="1025" name="gantt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6385560</xdr:colOff>
          <xdr:row>15</xdr:row>
          <xdr:rowOff>7620</xdr:rowOff>
        </xdr:from>
        <xdr:to>
          <xdr:col>1</xdr:col>
          <xdr:colOff>15240</xdr:colOff>
          <xdr:row>18</xdr:row>
          <xdr:rowOff>114300</xdr:rowOff>
        </xdr:to>
        <xdr:sp macro="" textlink="">
          <xdr:nvSpPr>
            <xdr:cNvPr id="1028" name="taskButtong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6393180</xdr:colOff>
          <xdr:row>19</xdr:row>
          <xdr:rowOff>60960</xdr:rowOff>
        </xdr:from>
        <xdr:to>
          <xdr:col>1</xdr:col>
          <xdr:colOff>22860</xdr:colOff>
          <xdr:row>22</xdr:row>
          <xdr:rowOff>175260</xdr:rowOff>
        </xdr:to>
        <xdr:sp macro="" textlink="">
          <xdr:nvSpPr>
            <xdr:cNvPr id="1029" name="yourTask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2324100</xdr:colOff>
          <xdr:row>33</xdr:row>
          <xdr:rowOff>15240</xdr:rowOff>
        </xdr:from>
        <xdr:to>
          <xdr:col>0</xdr:col>
          <xdr:colOff>3810000</xdr:colOff>
          <xdr:row>36</xdr:row>
          <xdr:rowOff>121920</xdr:rowOff>
        </xdr:to>
        <xdr:sp macro="" textlink="">
          <xdr:nvSpPr>
            <xdr:cNvPr id="1032" name="logout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6385560</xdr:colOff>
          <xdr:row>23</xdr:row>
          <xdr:rowOff>175260</xdr:rowOff>
        </xdr:from>
        <xdr:to>
          <xdr:col>1</xdr:col>
          <xdr:colOff>7620</xdr:colOff>
          <xdr:row>27</xdr:row>
          <xdr:rowOff>99060</xdr:rowOff>
        </xdr:to>
        <xdr:sp macro="" textlink="">
          <xdr:nvSpPr>
            <xdr:cNvPr id="1033" name="updateSkill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6385560</xdr:colOff>
          <xdr:row>28</xdr:row>
          <xdr:rowOff>91440</xdr:rowOff>
        </xdr:from>
        <xdr:to>
          <xdr:col>1</xdr:col>
          <xdr:colOff>15240</xdr:colOff>
          <xdr:row>32</xdr:row>
          <xdr:rowOff>15240</xdr:rowOff>
        </xdr:to>
        <xdr:sp macro="" textlink="">
          <xdr:nvSpPr>
            <xdr:cNvPr id="1034" name="createTas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3931920</xdr:colOff>
          <xdr:row>33</xdr:row>
          <xdr:rowOff>22860</xdr:rowOff>
        </xdr:from>
        <xdr:to>
          <xdr:col>0</xdr:col>
          <xdr:colOff>5775960</xdr:colOff>
          <xdr:row>36</xdr:row>
          <xdr:rowOff>129540</xdr:rowOff>
        </xdr:to>
        <xdr:sp macro="" textlink="">
          <xdr:nvSpPr>
            <xdr:cNvPr id="1040" name="showWelcom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1051560</xdr:colOff>
          <xdr:row>33</xdr:row>
          <xdr:rowOff>0</xdr:rowOff>
        </xdr:from>
        <xdr:to>
          <xdr:col>0</xdr:col>
          <xdr:colOff>2202180</xdr:colOff>
          <xdr:row>36</xdr:row>
          <xdr:rowOff>106680</xdr:rowOff>
        </xdr:to>
        <xdr:sp macro="" textlink="">
          <xdr:nvSpPr>
            <xdr:cNvPr id="1041" name="quit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152878</xdr:colOff>
      <xdr:row>2</xdr:row>
      <xdr:rowOff>148767</xdr:rowOff>
    </xdr:from>
    <xdr:to>
      <xdr:col>18</xdr:col>
      <xdr:colOff>512617</xdr:colOff>
      <xdr:row>28</xdr:row>
      <xdr:rowOff>11545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0</xdr:rowOff>
        </xdr:from>
        <xdr:to>
          <xdr:col>11</xdr:col>
          <xdr:colOff>228600</xdr:colOff>
          <xdr:row>1</xdr:row>
          <xdr:rowOff>129540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0</xdr:row>
          <xdr:rowOff>15240</xdr:rowOff>
        </xdr:from>
        <xdr:to>
          <xdr:col>9</xdr:col>
          <xdr:colOff>15240</xdr:colOff>
          <xdr:row>1</xdr:row>
          <xdr:rowOff>129540</xdr:rowOff>
        </xdr:to>
        <xdr:sp macro="" textlink="">
          <xdr:nvSpPr>
            <xdr:cNvPr id="8194" name="Completi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13</xdr:row>
          <xdr:rowOff>137160</xdr:rowOff>
        </xdr:from>
        <xdr:to>
          <xdr:col>1</xdr:col>
          <xdr:colOff>99060</xdr:colOff>
          <xdr:row>17</xdr:row>
          <xdr:rowOff>60960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13</xdr:row>
          <xdr:rowOff>137160</xdr:rowOff>
        </xdr:from>
        <xdr:to>
          <xdr:col>1</xdr:col>
          <xdr:colOff>99060</xdr:colOff>
          <xdr:row>17</xdr:row>
          <xdr:rowOff>60960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elcome"/>
  <dimension ref="A1"/>
  <sheetViews>
    <sheetView showGridLines="0" showRowColHeaders="0" tabSelected="1" zoomScale="75" zoomScaleNormal="7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O40" sqref="O40"/>
    </sheetView>
  </sheetViews>
  <sheetFormatPr defaultColWidth="8.77734375" defaultRowHeight="14.4" x14ac:dyDescent="0.3"/>
  <cols>
    <col min="1" max="1" width="118.21875" style="21" customWidth="1"/>
    <col min="2" max="16384" width="8.77734375" style="21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reateTasks">
          <controlPr defaultSize="0" disabled="1" autoLine="0" r:id="rId5">
            <anchor moveWithCells="1">
              <from>
                <xdr:col>0</xdr:col>
                <xdr:colOff>6385560</xdr:colOff>
                <xdr:row>28</xdr:row>
                <xdr:rowOff>91440</xdr:rowOff>
              </from>
              <to>
                <xdr:col>1</xdr:col>
                <xdr:colOff>160020</xdr:colOff>
                <xdr:row>32</xdr:row>
                <xdr:rowOff>22860</xdr:rowOff>
              </to>
            </anchor>
          </controlPr>
        </control>
      </mc:Choice>
      <mc:Fallback>
        <control shapeId="1034" r:id="rId4" name="createTasks"/>
      </mc:Fallback>
    </mc:AlternateContent>
    <mc:AlternateContent xmlns:mc="http://schemas.openxmlformats.org/markup-compatibility/2006">
      <mc:Choice Requires="x14">
        <control shapeId="1033" r:id="rId6" name="updateSkills">
          <controlPr defaultSize="0" disabled="1" autoLine="0" r:id="rId7">
            <anchor moveWithCells="1">
              <from>
                <xdr:col>0</xdr:col>
                <xdr:colOff>6385560</xdr:colOff>
                <xdr:row>23</xdr:row>
                <xdr:rowOff>175260</xdr:rowOff>
              </from>
              <to>
                <xdr:col>1</xdr:col>
                <xdr:colOff>160020</xdr:colOff>
                <xdr:row>27</xdr:row>
                <xdr:rowOff>106680</xdr:rowOff>
              </to>
            </anchor>
          </controlPr>
        </control>
      </mc:Choice>
      <mc:Fallback>
        <control shapeId="1033" r:id="rId6" name="updateSkills"/>
      </mc:Fallback>
    </mc:AlternateContent>
    <mc:AlternateContent xmlns:mc="http://schemas.openxmlformats.org/markup-compatibility/2006">
      <mc:Choice Requires="x14">
        <control shapeId="1032" r:id="rId8" name="logoutbutton">
          <controlPr defaultSize="0" autoLine="0" r:id="rId9">
            <anchor moveWithCells="1">
              <from>
                <xdr:col>0</xdr:col>
                <xdr:colOff>2324100</xdr:colOff>
                <xdr:row>33</xdr:row>
                <xdr:rowOff>15240</xdr:rowOff>
              </from>
              <to>
                <xdr:col>0</xdr:col>
                <xdr:colOff>3810000</xdr:colOff>
                <xdr:row>36</xdr:row>
                <xdr:rowOff>129540</xdr:rowOff>
              </to>
            </anchor>
          </controlPr>
        </control>
      </mc:Choice>
      <mc:Fallback>
        <control shapeId="1032" r:id="rId8" name="logoutbutton"/>
      </mc:Fallback>
    </mc:AlternateContent>
    <mc:AlternateContent xmlns:mc="http://schemas.openxmlformats.org/markup-compatibility/2006">
      <mc:Choice Requires="x14">
        <control shapeId="1029" r:id="rId10" name="yourTasks">
          <controlPr defaultSize="0" disabled="1" autoLine="0" r:id="rId11">
            <anchor moveWithCells="1">
              <from>
                <xdr:col>0</xdr:col>
                <xdr:colOff>6393180</xdr:colOff>
                <xdr:row>19</xdr:row>
                <xdr:rowOff>60960</xdr:rowOff>
              </from>
              <to>
                <xdr:col>1</xdr:col>
                <xdr:colOff>167640</xdr:colOff>
                <xdr:row>22</xdr:row>
                <xdr:rowOff>175260</xdr:rowOff>
              </to>
            </anchor>
          </controlPr>
        </control>
      </mc:Choice>
      <mc:Fallback>
        <control shapeId="1029" r:id="rId10" name="yourTasks"/>
      </mc:Fallback>
    </mc:AlternateContent>
    <mc:AlternateContent xmlns:mc="http://schemas.openxmlformats.org/markup-compatibility/2006">
      <mc:Choice Requires="x14">
        <control shapeId="1028" r:id="rId12" name="taskButtongo">
          <controlPr defaultSize="0" disabled="1" autoLine="0" r:id="rId13">
            <anchor moveWithCells="1">
              <from>
                <xdr:col>0</xdr:col>
                <xdr:colOff>6385560</xdr:colOff>
                <xdr:row>15</xdr:row>
                <xdr:rowOff>7620</xdr:rowOff>
              </from>
              <to>
                <xdr:col>1</xdr:col>
                <xdr:colOff>160020</xdr:colOff>
                <xdr:row>18</xdr:row>
                <xdr:rowOff>121920</xdr:rowOff>
              </to>
            </anchor>
          </controlPr>
        </control>
      </mc:Choice>
      <mc:Fallback>
        <control shapeId="1028" r:id="rId12" name="taskButtongo"/>
      </mc:Fallback>
    </mc:AlternateContent>
    <mc:AlternateContent xmlns:mc="http://schemas.openxmlformats.org/markup-compatibility/2006">
      <mc:Choice Requires="x14">
        <control shapeId="1025" r:id="rId14" name="ganttButton">
          <controlPr defaultSize="0" disabled="1" autoLine="0" r:id="rId15">
            <anchor moveWithCells="1">
              <from>
                <xdr:col>0</xdr:col>
                <xdr:colOff>6377940</xdr:colOff>
                <xdr:row>10</xdr:row>
                <xdr:rowOff>144780</xdr:rowOff>
              </from>
              <to>
                <xdr:col>1</xdr:col>
                <xdr:colOff>152400</xdr:colOff>
                <xdr:row>14</xdr:row>
                <xdr:rowOff>76200</xdr:rowOff>
              </to>
            </anchor>
          </controlPr>
        </control>
      </mc:Choice>
      <mc:Fallback>
        <control shapeId="1025" r:id="rId14" name="ganttButton"/>
      </mc:Fallback>
    </mc:AlternateContent>
    <mc:AlternateContent xmlns:mc="http://schemas.openxmlformats.org/markup-compatibility/2006">
      <mc:Choice Requires="x14">
        <control shapeId="1040" r:id="rId16" name="showWelcome">
          <controlPr defaultSize="0" autoLine="0" r:id="rId17">
            <anchor moveWithCells="1">
              <from>
                <xdr:col>0</xdr:col>
                <xdr:colOff>3931920</xdr:colOff>
                <xdr:row>33</xdr:row>
                <xdr:rowOff>22860</xdr:rowOff>
              </from>
              <to>
                <xdr:col>0</xdr:col>
                <xdr:colOff>5783580</xdr:colOff>
                <xdr:row>36</xdr:row>
                <xdr:rowOff>137160</xdr:rowOff>
              </to>
            </anchor>
          </controlPr>
        </control>
      </mc:Choice>
      <mc:Fallback>
        <control shapeId="1040" r:id="rId16" name="showWelcome"/>
      </mc:Fallback>
    </mc:AlternateContent>
    <mc:AlternateContent xmlns:mc="http://schemas.openxmlformats.org/markup-compatibility/2006">
      <mc:Choice Requires="x14">
        <control shapeId="1041" r:id="rId18" name="quitbutton2">
          <controlPr defaultSize="0" autoLine="0" r:id="rId19">
            <anchor moveWithCells="1">
              <from>
                <xdr:col>0</xdr:col>
                <xdr:colOff>1051560</xdr:colOff>
                <xdr:row>33</xdr:row>
                <xdr:rowOff>0</xdr:rowOff>
              </from>
              <to>
                <xdr:col>0</xdr:col>
                <xdr:colOff>2209800</xdr:colOff>
                <xdr:row>36</xdr:row>
                <xdr:rowOff>114300</xdr:rowOff>
              </to>
            </anchor>
          </controlPr>
        </control>
      </mc:Choice>
      <mc:Fallback>
        <control shapeId="1041" r:id="rId18" name="quit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Store"/>
  <dimension ref="A1:Q100"/>
  <sheetViews>
    <sheetView zoomScale="64" zoomScaleNormal="64" workbookViewId="0">
      <pane ySplit="1" topLeftCell="A2" activePane="bottomLeft" state="frozen"/>
      <selection activeCell="D1" sqref="D1"/>
      <selection pane="bottomLeft" activeCell="E17" sqref="E17"/>
    </sheetView>
  </sheetViews>
  <sheetFormatPr defaultColWidth="8.77734375" defaultRowHeight="14.4" x14ac:dyDescent="0.3"/>
  <cols>
    <col min="1" max="5" width="36.33203125" style="1" customWidth="1"/>
    <col min="6" max="6" width="10.5546875" style="1" customWidth="1"/>
    <col min="7" max="7" width="23.6640625" style="1" bestFit="1" customWidth="1"/>
    <col min="8" max="8" width="22" style="1" bestFit="1" customWidth="1"/>
    <col min="9" max="9" width="15" style="1" bestFit="1" customWidth="1"/>
    <col min="10" max="10" width="14.88671875" style="1" bestFit="1" customWidth="1"/>
    <col min="11" max="11" width="16" style="1" bestFit="1" customWidth="1"/>
    <col min="12" max="12" width="12.6640625" style="1" bestFit="1" customWidth="1"/>
    <col min="13" max="13" width="17.44140625" style="1" bestFit="1" customWidth="1"/>
    <col min="14" max="14" width="12.88671875" style="1" bestFit="1" customWidth="1"/>
    <col min="15" max="15" width="12.6640625" style="1" bestFit="1" customWidth="1"/>
    <col min="16" max="16" width="11.44140625" style="1" bestFit="1" customWidth="1"/>
    <col min="17" max="16384" width="8.77734375" style="1"/>
  </cols>
  <sheetData>
    <row r="1" spans="1:17" ht="36.9" customHeight="1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16</v>
      </c>
      <c r="G1" s="28" t="s">
        <v>25</v>
      </c>
      <c r="H1" s="28" t="s">
        <v>26</v>
      </c>
      <c r="I1" s="28" t="s">
        <v>27</v>
      </c>
      <c r="J1" s="28" t="s">
        <v>28</v>
      </c>
      <c r="K1" s="28" t="s">
        <v>29</v>
      </c>
      <c r="L1" s="28" t="s">
        <v>30</v>
      </c>
      <c r="M1" s="28" t="s">
        <v>31</v>
      </c>
      <c r="N1" s="28" t="s">
        <v>32</v>
      </c>
      <c r="O1" s="28" t="s">
        <v>33</v>
      </c>
      <c r="P1" s="28" t="s">
        <v>34</v>
      </c>
      <c r="Q1" s="4" t="s">
        <v>24</v>
      </c>
    </row>
    <row r="2" spans="1:17" x14ac:dyDescent="0.3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10"/>
    </row>
    <row r="3" spans="1:17" x14ac:dyDescent="0.3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10"/>
    </row>
    <row r="4" spans="1:17" x14ac:dyDescent="0.3">
      <c r="A4" s="8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10"/>
    </row>
    <row r="5" spans="1:17" x14ac:dyDescent="0.3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10"/>
    </row>
    <row r="6" spans="1:17" x14ac:dyDescent="0.3">
      <c r="A6" s="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10"/>
    </row>
    <row r="7" spans="1:17" x14ac:dyDescent="0.3">
      <c r="A7" s="8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10"/>
    </row>
    <row r="8" spans="1:17" x14ac:dyDescent="0.3">
      <c r="A8" s="8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10"/>
    </row>
    <row r="9" spans="1:17" x14ac:dyDescent="0.3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0"/>
    </row>
    <row r="10" spans="1:17" x14ac:dyDescent="0.3">
      <c r="A10" s="8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10"/>
    </row>
    <row r="11" spans="1:17" x14ac:dyDescent="0.3">
      <c r="A11" s="8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10"/>
    </row>
    <row r="12" spans="1:17" x14ac:dyDescent="0.3">
      <c r="A12" s="8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10"/>
    </row>
    <row r="13" spans="1:17" x14ac:dyDescent="0.3">
      <c r="A13" s="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10"/>
    </row>
    <row r="14" spans="1:17" x14ac:dyDescent="0.3">
      <c r="A14" s="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10"/>
    </row>
    <row r="15" spans="1:17" x14ac:dyDescent="0.3">
      <c r="A15" s="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10"/>
    </row>
    <row r="16" spans="1:17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7"/>
    </row>
    <row r="17" spans="1:17" x14ac:dyDescent="0.3">
      <c r="A17" s="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10"/>
    </row>
    <row r="18" spans="1:17" x14ac:dyDescent="0.3">
      <c r="A18" s="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10"/>
    </row>
    <row r="19" spans="1:17" x14ac:dyDescent="0.3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7"/>
    </row>
    <row r="20" spans="1:17" x14ac:dyDescent="0.3">
      <c r="A20" s="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10"/>
    </row>
    <row r="21" spans="1:17" x14ac:dyDescent="0.3">
      <c r="A21" s="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0"/>
    </row>
    <row r="22" spans="1:17" x14ac:dyDescent="0.3">
      <c r="A22" s="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7"/>
    </row>
    <row r="23" spans="1:17" x14ac:dyDescent="0.3">
      <c r="A23" s="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0"/>
    </row>
    <row r="24" spans="1:17" x14ac:dyDescent="0.3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10"/>
    </row>
    <row r="25" spans="1:17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7"/>
    </row>
    <row r="26" spans="1:17" x14ac:dyDescent="0.3">
      <c r="A26" s="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10"/>
    </row>
    <row r="27" spans="1:17" x14ac:dyDescent="0.3">
      <c r="A27" s="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0"/>
    </row>
    <row r="28" spans="1:17" x14ac:dyDescent="0.3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7"/>
    </row>
    <row r="29" spans="1:17" x14ac:dyDescent="0.3">
      <c r="A29" s="8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0"/>
    </row>
    <row r="30" spans="1:17" x14ac:dyDescent="0.3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0"/>
    </row>
    <row r="31" spans="1:17" x14ac:dyDescent="0.3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7"/>
    </row>
    <row r="32" spans="1:17" x14ac:dyDescent="0.3">
      <c r="A32" s="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10"/>
    </row>
    <row r="33" spans="1:17" x14ac:dyDescent="0.3">
      <c r="A33" s="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0"/>
    </row>
    <row r="34" spans="1:17" x14ac:dyDescent="0.3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7"/>
    </row>
    <row r="35" spans="1:17" x14ac:dyDescent="0.3">
      <c r="A35" s="8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10"/>
    </row>
    <row r="36" spans="1:17" x14ac:dyDescent="0.3">
      <c r="A36" s="8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10"/>
    </row>
    <row r="37" spans="1:17" x14ac:dyDescent="0.3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7"/>
    </row>
    <row r="99" spans="1:6" x14ac:dyDescent="0.3">
      <c r="A99" s="2"/>
      <c r="B99" s="2"/>
      <c r="C99" s="2"/>
      <c r="D99" s="2"/>
      <c r="E99" s="2"/>
      <c r="F99" s="2"/>
    </row>
    <row r="100" spans="1:6" x14ac:dyDescent="0.3">
      <c r="A100" s="2"/>
      <c r="B100" s="2"/>
      <c r="C100" s="2"/>
      <c r="D100" s="2"/>
      <c r="E100" s="2"/>
      <c r="F100" s="2"/>
    </row>
  </sheetData>
  <sortState ref="Q1:Q100">
    <sortCondition descending="1" ref="Q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antt2"/>
  <dimension ref="A1:K40"/>
  <sheetViews>
    <sheetView zoomScale="55" zoomScaleNormal="55" workbookViewId="0">
      <selection activeCell="E12" sqref="E12"/>
    </sheetView>
  </sheetViews>
  <sheetFormatPr defaultRowHeight="14.4" x14ac:dyDescent="0.3"/>
  <cols>
    <col min="1" max="1" width="12.21875" customWidth="1"/>
    <col min="2" max="2" width="16.88671875" customWidth="1"/>
    <col min="3" max="3" width="11.44140625" style="24" customWidth="1"/>
    <col min="4" max="4" width="10.6640625" style="24" customWidth="1"/>
    <col min="5" max="5" width="16.21875" customWidth="1"/>
    <col min="6" max="6" width="15.6640625" customWidth="1"/>
    <col min="7" max="7" width="16.5546875" customWidth="1"/>
    <col min="8" max="8" width="18.21875" style="25" customWidth="1"/>
    <col min="9" max="9" width="16.88671875" customWidth="1"/>
    <col min="11" max="11" width="9.77734375" bestFit="1" customWidth="1"/>
  </cols>
  <sheetData>
    <row r="1" spans="1:11" ht="62.4" x14ac:dyDescent="0.3">
      <c r="A1" s="33" t="s">
        <v>17</v>
      </c>
      <c r="B1" s="33" t="s">
        <v>18</v>
      </c>
      <c r="C1" s="34" t="s">
        <v>14</v>
      </c>
      <c r="D1" s="34" t="s">
        <v>15</v>
      </c>
      <c r="E1" s="33" t="s">
        <v>19</v>
      </c>
      <c r="F1" s="33" t="s">
        <v>20</v>
      </c>
      <c r="G1" s="33" t="s">
        <v>21</v>
      </c>
      <c r="H1" s="35" t="s">
        <v>22</v>
      </c>
      <c r="J1" s="22" t="s">
        <v>23</v>
      </c>
      <c r="K1" s="23">
        <f ca="1">C2</f>
        <v>43192</v>
      </c>
    </row>
    <row r="2" spans="1:11" x14ac:dyDescent="0.3">
      <c r="A2" s="36" t="s">
        <v>35</v>
      </c>
      <c r="B2" s="37"/>
      <c r="C2" s="38">
        <f ca="1">TODAY()</f>
        <v>43192</v>
      </c>
      <c r="D2" s="38">
        <f ca="1">TODAY()</f>
        <v>43192</v>
      </c>
      <c r="E2" s="39">
        <f t="shared" ref="E2:E14" ca="1" si="0">IF(D2="","",SUM(F2:G2))</f>
        <v>0</v>
      </c>
      <c r="F2" s="40">
        <f t="shared" ref="F2:F14" ca="1" si="1">IF(((D2)=""),"",(H2)*(D2-C2))</f>
        <v>0</v>
      </c>
      <c r="G2" s="40">
        <f t="shared" ref="G2:G14" ca="1" si="2">IF(F2="","",(D2-C2)-F2)</f>
        <v>0</v>
      </c>
      <c r="H2" s="41">
        <v>1</v>
      </c>
    </row>
    <row r="3" spans="1:11" x14ac:dyDescent="0.3">
      <c r="A3" s="29" t="s">
        <v>38</v>
      </c>
      <c r="B3" s="30" t="s">
        <v>36</v>
      </c>
      <c r="C3" s="31">
        <v>43054</v>
      </c>
      <c r="D3" s="31">
        <v>43059</v>
      </c>
      <c r="E3" s="39">
        <f t="shared" si="0"/>
        <v>5</v>
      </c>
      <c r="F3" s="40">
        <f t="shared" si="1"/>
        <v>4.5</v>
      </c>
      <c r="G3" s="40">
        <f t="shared" si="2"/>
        <v>0.5</v>
      </c>
      <c r="H3" s="32">
        <v>0.9</v>
      </c>
    </row>
    <row r="4" spans="1:11" x14ac:dyDescent="0.3">
      <c r="A4" t="s">
        <v>37</v>
      </c>
      <c r="B4" t="s">
        <v>37</v>
      </c>
      <c r="C4" s="24">
        <v>42749</v>
      </c>
      <c r="D4" s="24">
        <v>42751</v>
      </c>
      <c r="E4" s="39">
        <f t="shared" si="0"/>
        <v>2</v>
      </c>
      <c r="F4" s="40">
        <f t="shared" si="1"/>
        <v>0</v>
      </c>
      <c r="G4" s="40">
        <f t="shared" si="2"/>
        <v>2</v>
      </c>
      <c r="H4" s="25">
        <v>0</v>
      </c>
    </row>
    <row r="5" spans="1:11" x14ac:dyDescent="0.3">
      <c r="A5" t="s">
        <v>39</v>
      </c>
      <c r="B5" t="s">
        <v>40</v>
      </c>
      <c r="C5" s="24">
        <v>42736</v>
      </c>
      <c r="D5" s="24">
        <v>42746</v>
      </c>
      <c r="E5" s="39">
        <f t="shared" si="0"/>
        <v>10</v>
      </c>
      <c r="F5" s="40">
        <f t="shared" si="1"/>
        <v>0</v>
      </c>
      <c r="G5" s="40">
        <f t="shared" si="2"/>
        <v>10</v>
      </c>
      <c r="H5" s="25">
        <v>0</v>
      </c>
    </row>
    <row r="6" spans="1:11" x14ac:dyDescent="0.3">
      <c r="A6" t="s">
        <v>41</v>
      </c>
      <c r="B6" t="s">
        <v>41</v>
      </c>
      <c r="C6" s="24">
        <v>42749</v>
      </c>
      <c r="D6" s="24">
        <v>42750</v>
      </c>
      <c r="E6" s="39">
        <f t="shared" si="0"/>
        <v>1</v>
      </c>
      <c r="F6" s="40">
        <f t="shared" si="1"/>
        <v>0</v>
      </c>
      <c r="G6" s="40">
        <f t="shared" si="2"/>
        <v>1</v>
      </c>
      <c r="H6" s="25">
        <v>0</v>
      </c>
    </row>
    <row r="7" spans="1:11" x14ac:dyDescent="0.3">
      <c r="A7" t="s">
        <v>42</v>
      </c>
      <c r="B7" t="s">
        <v>43</v>
      </c>
      <c r="C7" s="24">
        <v>42749</v>
      </c>
      <c r="D7" s="24">
        <v>42751</v>
      </c>
      <c r="E7" s="39">
        <f t="shared" si="0"/>
        <v>2</v>
      </c>
      <c r="F7" s="40">
        <f t="shared" si="1"/>
        <v>1</v>
      </c>
      <c r="G7" s="40">
        <f t="shared" si="2"/>
        <v>1</v>
      </c>
      <c r="H7" s="25">
        <v>0.5</v>
      </c>
    </row>
    <row r="8" spans="1:11" x14ac:dyDescent="0.3">
      <c r="A8" t="s">
        <v>37</v>
      </c>
      <c r="B8" t="s">
        <v>37</v>
      </c>
      <c r="C8" s="24">
        <v>42749</v>
      </c>
      <c r="D8" s="24">
        <v>42750</v>
      </c>
      <c r="E8" s="39">
        <f t="shared" si="0"/>
        <v>1</v>
      </c>
      <c r="F8" s="40">
        <f t="shared" si="1"/>
        <v>0</v>
      </c>
      <c r="G8" s="40">
        <f t="shared" si="2"/>
        <v>1</v>
      </c>
      <c r="H8" s="25">
        <v>0</v>
      </c>
    </row>
    <row r="9" spans="1:11" x14ac:dyDescent="0.3">
      <c r="A9" t="s">
        <v>44</v>
      </c>
      <c r="B9" t="s">
        <v>45</v>
      </c>
      <c r="C9" s="24">
        <v>42749</v>
      </c>
      <c r="D9" s="24">
        <v>42751</v>
      </c>
      <c r="E9" s="39">
        <f t="shared" si="0"/>
        <v>2</v>
      </c>
      <c r="F9" s="40">
        <f t="shared" si="1"/>
        <v>0</v>
      </c>
      <c r="G9" s="40">
        <f t="shared" si="2"/>
        <v>2</v>
      </c>
      <c r="H9" s="25">
        <v>0</v>
      </c>
    </row>
    <row r="10" spans="1:11" x14ac:dyDescent="0.3">
      <c r="A10" t="s">
        <v>37</v>
      </c>
      <c r="B10" t="s">
        <v>37</v>
      </c>
      <c r="C10" s="24">
        <v>42749</v>
      </c>
      <c r="D10" s="24">
        <v>42750</v>
      </c>
      <c r="E10" s="39">
        <f t="shared" si="0"/>
        <v>1</v>
      </c>
      <c r="F10" s="40">
        <f t="shared" si="1"/>
        <v>0.1</v>
      </c>
      <c r="G10" s="40">
        <f t="shared" si="2"/>
        <v>0.9</v>
      </c>
      <c r="H10" s="25">
        <v>0.1</v>
      </c>
    </row>
    <row r="11" spans="1:11" x14ac:dyDescent="0.3">
      <c r="A11" t="s">
        <v>37</v>
      </c>
      <c r="B11" t="s">
        <v>37</v>
      </c>
      <c r="C11" s="24">
        <v>42749</v>
      </c>
      <c r="D11" s="24">
        <v>42751</v>
      </c>
      <c r="E11" s="39">
        <f t="shared" si="0"/>
        <v>2</v>
      </c>
      <c r="F11" s="40">
        <f t="shared" si="1"/>
        <v>0</v>
      </c>
      <c r="G11" s="40">
        <f t="shared" si="2"/>
        <v>2</v>
      </c>
      <c r="H11" s="25">
        <v>0</v>
      </c>
    </row>
    <row r="12" spans="1:11" x14ac:dyDescent="0.3">
      <c r="A12" t="s">
        <v>46</v>
      </c>
      <c r="B12" t="s">
        <v>47</v>
      </c>
      <c r="C12" s="24">
        <v>43050</v>
      </c>
      <c r="D12" s="24">
        <v>43051</v>
      </c>
      <c r="E12" s="39">
        <f t="shared" si="0"/>
        <v>1</v>
      </c>
      <c r="F12" s="40">
        <f t="shared" si="1"/>
        <v>0</v>
      </c>
      <c r="G12" s="40">
        <f t="shared" si="2"/>
        <v>1</v>
      </c>
      <c r="H12" s="25">
        <v>0</v>
      </c>
    </row>
    <row r="13" spans="1:11" x14ac:dyDescent="0.3">
      <c r="A13" t="s">
        <v>48</v>
      </c>
      <c r="B13" t="s">
        <v>49</v>
      </c>
      <c r="C13" s="24">
        <v>43018</v>
      </c>
      <c r="D13" s="24">
        <v>43017</v>
      </c>
      <c r="E13" s="39">
        <f t="shared" si="0"/>
        <v>-1</v>
      </c>
      <c r="F13" s="40">
        <f t="shared" si="1"/>
        <v>0</v>
      </c>
      <c r="G13" s="40">
        <f t="shared" si="2"/>
        <v>-1</v>
      </c>
      <c r="H13" s="25">
        <v>0</v>
      </c>
    </row>
    <row r="14" spans="1:11" x14ac:dyDescent="0.3">
      <c r="A14" t="s">
        <v>49</v>
      </c>
      <c r="B14" t="s">
        <v>49</v>
      </c>
      <c r="C14" s="24">
        <v>43018</v>
      </c>
      <c r="D14" s="24">
        <v>43049</v>
      </c>
      <c r="E14" s="39">
        <f t="shared" si="0"/>
        <v>31</v>
      </c>
      <c r="F14" s="40">
        <f t="shared" si="1"/>
        <v>0</v>
      </c>
      <c r="G14" s="40">
        <f t="shared" si="2"/>
        <v>31</v>
      </c>
      <c r="H14" s="25">
        <v>0</v>
      </c>
    </row>
    <row r="17" spans="1:7" s="25" customFormat="1" x14ac:dyDescent="0.3">
      <c r="A17"/>
      <c r="B17"/>
      <c r="C17" s="24"/>
      <c r="D17" s="24"/>
      <c r="E17"/>
      <c r="F17"/>
      <c r="G17"/>
    </row>
    <row r="18" spans="1:7" s="25" customFormat="1" x14ac:dyDescent="0.3">
      <c r="A18"/>
      <c r="B18"/>
      <c r="C18" s="24"/>
      <c r="D18" s="24"/>
      <c r="E18"/>
      <c r="F18"/>
      <c r="G18"/>
    </row>
    <row r="19" spans="1:7" s="25" customFormat="1" x14ac:dyDescent="0.3">
      <c r="A19"/>
      <c r="B19"/>
      <c r="C19" s="24"/>
      <c r="D19" s="24"/>
      <c r="E19"/>
      <c r="F19"/>
      <c r="G19"/>
    </row>
    <row r="20" spans="1:7" s="25" customFormat="1" x14ac:dyDescent="0.3">
      <c r="A20"/>
      <c r="B20"/>
      <c r="C20" s="24"/>
      <c r="D20" s="24"/>
      <c r="E20"/>
      <c r="F20"/>
      <c r="G20"/>
    </row>
    <row r="21" spans="1:7" s="25" customFormat="1" x14ac:dyDescent="0.3">
      <c r="A21"/>
      <c r="B21"/>
      <c r="C21" s="24"/>
      <c r="D21" s="24"/>
      <c r="E21"/>
      <c r="F21"/>
      <c r="G21"/>
    </row>
    <row r="22" spans="1:7" s="25" customFormat="1" x14ac:dyDescent="0.3">
      <c r="A22"/>
      <c r="B22"/>
      <c r="C22" s="24"/>
      <c r="D22" s="24"/>
      <c r="E22"/>
      <c r="F22"/>
      <c r="G22"/>
    </row>
    <row r="23" spans="1:7" s="25" customFormat="1" x14ac:dyDescent="0.3">
      <c r="A23"/>
      <c r="B23"/>
      <c r="C23" s="24"/>
      <c r="D23" s="24"/>
      <c r="E23"/>
      <c r="F23"/>
      <c r="G23"/>
    </row>
    <row r="24" spans="1:7" s="25" customFormat="1" x14ac:dyDescent="0.3">
      <c r="A24"/>
      <c r="B24"/>
      <c r="C24" s="24"/>
      <c r="D24" s="24"/>
      <c r="E24"/>
      <c r="F24"/>
      <c r="G24"/>
    </row>
    <row r="25" spans="1:7" s="25" customFormat="1" x14ac:dyDescent="0.3">
      <c r="A25"/>
      <c r="B25"/>
      <c r="C25" s="24"/>
      <c r="D25" s="24"/>
      <c r="E25"/>
      <c r="F25"/>
      <c r="G25"/>
    </row>
    <row r="26" spans="1:7" s="25" customFormat="1" x14ac:dyDescent="0.3">
      <c r="A26"/>
      <c r="B26"/>
      <c r="C26" s="24"/>
      <c r="D26" s="24"/>
      <c r="E26"/>
      <c r="F26"/>
      <c r="G26"/>
    </row>
    <row r="27" spans="1:7" s="25" customFormat="1" x14ac:dyDescent="0.3">
      <c r="A27"/>
      <c r="B27"/>
      <c r="C27" s="24"/>
      <c r="D27" s="24"/>
      <c r="E27"/>
      <c r="F27"/>
      <c r="G27"/>
    </row>
    <row r="28" spans="1:7" s="25" customFormat="1" x14ac:dyDescent="0.3">
      <c r="A28"/>
      <c r="B28"/>
      <c r="C28" s="24"/>
      <c r="D28" s="24"/>
      <c r="E28"/>
      <c r="F28"/>
      <c r="G28"/>
    </row>
    <row r="29" spans="1:7" s="25" customFormat="1" x14ac:dyDescent="0.3">
      <c r="A29"/>
      <c r="B29"/>
      <c r="C29" s="24"/>
      <c r="D29" s="24"/>
      <c r="E29"/>
      <c r="F29"/>
      <c r="G29"/>
    </row>
    <row r="30" spans="1:7" s="25" customFormat="1" x14ac:dyDescent="0.3">
      <c r="A30"/>
      <c r="B30"/>
      <c r="C30" s="24"/>
      <c r="D30" s="24"/>
      <c r="E30"/>
      <c r="F30"/>
      <c r="G30"/>
    </row>
    <row r="31" spans="1:7" s="25" customFormat="1" x14ac:dyDescent="0.3">
      <c r="A31"/>
      <c r="B31"/>
      <c r="C31" s="24"/>
      <c r="D31" s="24"/>
      <c r="E31"/>
      <c r="F31"/>
      <c r="G31"/>
    </row>
    <row r="32" spans="1:7" s="25" customFormat="1" x14ac:dyDescent="0.3">
      <c r="A32"/>
      <c r="B32"/>
      <c r="C32" s="24"/>
      <c r="D32" s="24"/>
      <c r="E32"/>
      <c r="F32"/>
      <c r="G32"/>
    </row>
    <row r="33" spans="1:7" s="25" customFormat="1" x14ac:dyDescent="0.3">
      <c r="A33"/>
      <c r="B33"/>
      <c r="C33" s="24"/>
      <c r="D33" s="24"/>
      <c r="E33"/>
      <c r="F33"/>
      <c r="G33"/>
    </row>
    <row r="34" spans="1:7" s="25" customFormat="1" x14ac:dyDescent="0.3">
      <c r="A34"/>
      <c r="B34"/>
      <c r="C34" s="24"/>
      <c r="D34" s="24"/>
      <c r="E34"/>
      <c r="F34"/>
      <c r="G34"/>
    </row>
    <row r="35" spans="1:7" s="25" customFormat="1" x14ac:dyDescent="0.3">
      <c r="A35"/>
      <c r="B35"/>
      <c r="C35" s="24"/>
      <c r="D35" s="24"/>
      <c r="E35"/>
      <c r="F35"/>
      <c r="G35"/>
    </row>
    <row r="36" spans="1:7" s="25" customFormat="1" x14ac:dyDescent="0.3">
      <c r="A36"/>
      <c r="B36"/>
      <c r="C36" s="24"/>
      <c r="D36" s="24"/>
      <c r="E36"/>
      <c r="F36"/>
      <c r="G36"/>
    </row>
    <row r="37" spans="1:7" s="25" customFormat="1" x14ac:dyDescent="0.3">
      <c r="A37"/>
      <c r="B37"/>
      <c r="C37" s="24"/>
      <c r="D37" s="24"/>
      <c r="E37"/>
      <c r="F37"/>
      <c r="G37"/>
    </row>
    <row r="38" spans="1:7" s="25" customFormat="1" x14ac:dyDescent="0.3">
      <c r="A38"/>
      <c r="B38"/>
      <c r="C38" s="24"/>
      <c r="D38" s="24"/>
      <c r="E38"/>
      <c r="F38"/>
      <c r="G38"/>
    </row>
    <row r="39" spans="1:7" s="25" customFormat="1" x14ac:dyDescent="0.3">
      <c r="A39"/>
      <c r="B39"/>
      <c r="C39" s="24"/>
      <c r="D39" s="24"/>
      <c r="E39"/>
      <c r="F39"/>
      <c r="G39"/>
    </row>
    <row r="40" spans="1:7" s="25" customFormat="1" x14ac:dyDescent="0.3">
      <c r="A40"/>
      <c r="B40"/>
      <c r="C40" s="24"/>
      <c r="D40" s="24"/>
      <c r="E40"/>
      <c r="F40"/>
      <c r="G4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pletion">
          <controlPr defaultSize="0" autoLine="0" r:id="rId5">
            <anchor moveWithCells="1">
              <from>
                <xdr:col>8</xdr:col>
                <xdr:colOff>22860</xdr:colOff>
                <xdr:row>0</xdr:row>
                <xdr:rowOff>15240</xdr:rowOff>
              </from>
              <to>
                <xdr:col>9</xdr:col>
                <xdr:colOff>30480</xdr:colOff>
                <xdr:row>1</xdr:row>
                <xdr:rowOff>121920</xdr:rowOff>
              </to>
            </anchor>
          </controlPr>
        </control>
      </mc:Choice>
      <mc:Fallback>
        <control shapeId="8194" r:id="rId4" name="Completion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9</xdr:col>
                <xdr:colOff>38100</xdr:colOff>
                <xdr:row>0</xdr:row>
                <xdr:rowOff>0</xdr:rowOff>
              </from>
              <to>
                <xdr:col>11</xdr:col>
                <xdr:colOff>243840</xdr:colOff>
                <xdr:row>1</xdr:row>
                <xdr:rowOff>121920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ctiveTasks"/>
  <dimension ref="A1:P12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5" sqref="F15"/>
    </sheetView>
  </sheetViews>
  <sheetFormatPr defaultRowHeight="14.4" x14ac:dyDescent="0.3"/>
  <cols>
    <col min="1" max="1" width="22.21875" bestFit="1" customWidth="1"/>
    <col min="2" max="2" width="10.44140625" bestFit="1" customWidth="1"/>
    <col min="3" max="3" width="12.33203125" bestFit="1" customWidth="1"/>
    <col min="4" max="4" width="10.33203125" bestFit="1" customWidth="1"/>
    <col min="5" max="10" width="10.44140625" bestFit="1" customWidth="1"/>
    <col min="11" max="16" width="11.44140625" bestFit="1" customWidth="1"/>
    <col min="17" max="17" width="10.33203125" bestFit="1" customWidth="1"/>
    <col min="25" max="25" width="8.77734375" customWidth="1"/>
    <col min="268" max="268" width="8.77734375" customWidth="1"/>
  </cols>
  <sheetData>
    <row r="1" spans="1:16" s="15" customFormat="1" ht="17.399999999999999" x14ac:dyDescent="0.3">
      <c r="A1" s="18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12" customFormat="1" ht="15" x14ac:dyDescent="0.25">
      <c r="A2" s="16" t="s">
        <v>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s="12" customFormat="1" ht="15" x14ac:dyDescent="0.25">
      <c r="A3" s="16" t="s">
        <v>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s="12" customFormat="1" ht="15" x14ac:dyDescent="0.25">
      <c r="A4" s="16" t="s">
        <v>7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s="12" customFormat="1" ht="15" x14ac:dyDescent="0.25">
      <c r="A5" s="17" t="s">
        <v>8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1"/>
    </row>
    <row r="6" spans="1:16" s="12" customFormat="1" ht="15" x14ac:dyDescent="0.25">
      <c r="A6" s="17" t="s">
        <v>9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1"/>
    </row>
    <row r="7" spans="1:16" s="12" customFormat="1" ht="15" x14ac:dyDescent="0.25">
      <c r="A7" s="17" t="s">
        <v>10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1"/>
    </row>
    <row r="8" spans="1:16" s="12" customFormat="1" ht="15" x14ac:dyDescent="0.25">
      <c r="A8" s="17" t="s">
        <v>11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1"/>
    </row>
    <row r="9" spans="1:16" s="12" customFormat="1" ht="15" x14ac:dyDescent="0.25">
      <c r="A9" s="17" t="s">
        <v>12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1"/>
    </row>
    <row r="10" spans="1:16" s="12" customFormat="1" ht="15" x14ac:dyDescent="0.25">
      <c r="A10" s="17" t="s">
        <v>13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1"/>
    </row>
    <row r="11" spans="1:16" s="19" customFormat="1" ht="17.399999999999999" x14ac:dyDescent="0.3">
      <c r="A11" s="26" t="s">
        <v>14</v>
      </c>
    </row>
    <row r="12" spans="1:16" s="20" customFormat="1" ht="17.399999999999999" x14ac:dyDescent="0.3">
      <c r="A12" s="27" t="s">
        <v>15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160020</xdr:colOff>
                <xdr:row>13</xdr:row>
                <xdr:rowOff>137160</xdr:rowOff>
              </from>
              <to>
                <xdr:col>1</xdr:col>
                <xdr:colOff>129540</xdr:colOff>
                <xdr:row>17</xdr:row>
                <xdr:rowOff>68580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ctiveTasks1"/>
  <dimension ref="A1:P12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4" sqref="D24"/>
    </sheetView>
  </sheetViews>
  <sheetFormatPr defaultRowHeight="14.4" x14ac:dyDescent="0.3"/>
  <cols>
    <col min="1" max="1" width="22.21875" bestFit="1" customWidth="1"/>
    <col min="2" max="2" width="10.77734375" bestFit="1" customWidth="1"/>
    <col min="3" max="3" width="13.109375" bestFit="1" customWidth="1"/>
    <col min="4" max="10" width="10.77734375" bestFit="1" customWidth="1"/>
    <col min="11" max="14" width="11.88671875" bestFit="1" customWidth="1"/>
    <col min="25" max="25" width="8.77734375" customWidth="1"/>
    <col min="268" max="268" width="8.77734375" customWidth="1"/>
  </cols>
  <sheetData>
    <row r="1" spans="1:16" s="15" customFormat="1" ht="17.399999999999999" x14ac:dyDescent="0.3">
      <c r="A1" s="18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12" customFormat="1" ht="15" x14ac:dyDescent="0.25">
      <c r="A2" s="16" t="s">
        <v>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s="12" customFormat="1" ht="15" x14ac:dyDescent="0.25">
      <c r="A3" s="16" t="s">
        <v>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s="12" customFormat="1" ht="15" x14ac:dyDescent="0.25">
      <c r="A4" s="16" t="s">
        <v>7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s="12" customFormat="1" ht="15" x14ac:dyDescent="0.25">
      <c r="A5" s="17" t="s">
        <v>8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1"/>
    </row>
    <row r="6" spans="1:16" s="12" customFormat="1" ht="15" x14ac:dyDescent="0.25">
      <c r="A6" s="17" t="s">
        <v>9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1"/>
    </row>
    <row r="7" spans="1:16" s="12" customFormat="1" ht="15" x14ac:dyDescent="0.25">
      <c r="A7" s="17" t="s">
        <v>10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1"/>
    </row>
    <row r="8" spans="1:16" s="12" customFormat="1" ht="15" x14ac:dyDescent="0.25">
      <c r="A8" s="17" t="s">
        <v>11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1"/>
    </row>
    <row r="9" spans="1:16" s="12" customFormat="1" ht="15" x14ac:dyDescent="0.25">
      <c r="A9" s="17" t="s">
        <v>12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1"/>
    </row>
    <row r="10" spans="1:16" s="12" customFormat="1" ht="15" x14ac:dyDescent="0.25">
      <c r="A10" s="17" t="s">
        <v>13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1"/>
    </row>
    <row r="11" spans="1:16" s="19" customFormat="1" ht="17.399999999999999" x14ac:dyDescent="0.3">
      <c r="A11" s="26" t="s">
        <v>14</v>
      </c>
    </row>
    <row r="12" spans="1:16" s="20" customFormat="1" ht="17.399999999999999" x14ac:dyDescent="0.3">
      <c r="A12" s="27" t="s">
        <v>15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0</xdr:col>
                <xdr:colOff>160020</xdr:colOff>
                <xdr:row>13</xdr:row>
                <xdr:rowOff>137160</xdr:rowOff>
              </from>
              <to>
                <xdr:col>1</xdr:col>
                <xdr:colOff>129540</xdr:colOff>
                <xdr:row>17</xdr:row>
                <xdr:rowOff>68580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237452-D0E7-4280-97CB-21D274A1D6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userStore</vt:lpstr>
      <vt:lpstr>Gantt</vt:lpstr>
      <vt:lpstr>Main</vt:lpstr>
      <vt:lpstr>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</dc:creator>
  <cp:lastModifiedBy>alanw</cp:lastModifiedBy>
  <dcterms:created xsi:type="dcterms:W3CDTF">2017-10-09T05:51:25Z</dcterms:created>
  <dcterms:modified xsi:type="dcterms:W3CDTF">2018-04-02T22:54:27Z</dcterms:modified>
</cp:coreProperties>
</file>